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o/Desktop/consegna/"/>
    </mc:Choice>
  </mc:AlternateContent>
  <xr:revisionPtr revIDLastSave="0" documentId="13_ncr:1_{0631C83F-3CDE-5940-8F80-A47161AADFC6}" xr6:coauthVersionLast="45" xr6:coauthVersionMax="45" xr10:uidLastSave="{00000000-0000-0000-0000-000000000000}"/>
  <bookViews>
    <workbookView xWindow="0" yWindow="460" windowWidth="35840" windowHeight="21940" xr2:uid="{ABA2F62A-4AFF-4F2A-9C61-149A87522F35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3" i="1" l="1"/>
  <c r="D56" i="1" s="1"/>
  <c r="A53" i="1"/>
  <c r="B53" i="1"/>
  <c r="C53" i="1"/>
  <c r="D50" i="1"/>
  <c r="B24" i="1"/>
  <c r="C24" i="1"/>
  <c r="A24" i="1"/>
  <c r="B18" i="1"/>
  <c r="C18" i="1"/>
  <c r="A18" i="1"/>
  <c r="D48" i="1"/>
  <c r="B21" i="1"/>
  <c r="C21" i="1"/>
  <c r="A21" i="1"/>
  <c r="A16" i="1" l="1"/>
  <c r="B48" i="1" l="1"/>
  <c r="A48" i="1"/>
  <c r="C48" i="1"/>
  <c r="C16" i="1"/>
  <c r="B16" i="1"/>
  <c r="A28" i="1"/>
  <c r="C50" i="1"/>
  <c r="C56" i="1" s="1"/>
  <c r="B50" i="1"/>
  <c r="B56" i="1" s="1"/>
  <c r="A50" i="1"/>
  <c r="A56" i="1" s="1"/>
  <c r="A61" i="1" l="1"/>
  <c r="C28" i="1"/>
  <c r="C27" i="1"/>
  <c r="C29" i="1"/>
  <c r="B28" i="1"/>
  <c r="B61" i="1"/>
  <c r="C60" i="1"/>
  <c r="C62" i="1"/>
  <c r="C61" i="1"/>
  <c r="B60" i="1"/>
  <c r="A60" i="1"/>
  <c r="B27" i="1"/>
  <c r="A62" i="1" l="1"/>
  <c r="A29" i="1"/>
  <c r="A27" i="1"/>
  <c r="B29" i="1"/>
  <c r="B62" i="1"/>
</calcChain>
</file>

<file path=xl/sharedStrings.xml><?xml version="1.0" encoding="utf-8"?>
<sst xmlns="http://schemas.openxmlformats.org/spreadsheetml/2006/main" count="23" uniqueCount="15">
  <si>
    <t>HADOOP</t>
  </si>
  <si>
    <t>SPARK</t>
  </si>
  <si>
    <t>k=7, d=3, n=1000</t>
  </si>
  <si>
    <t>k=7, d=3, n=10000</t>
  </si>
  <si>
    <t>k=7, d=3, n=100000</t>
  </si>
  <si>
    <t>Mean</t>
  </si>
  <si>
    <t>S</t>
  </si>
  <si>
    <t>CI</t>
  </si>
  <si>
    <t>t95,n-1</t>
  </si>
  <si>
    <t>GRAFICI</t>
  </si>
  <si>
    <t>k=7, d=3, n=50000</t>
  </si>
  <si>
    <t>n=1000</t>
  </si>
  <si>
    <t>n=50k</t>
  </si>
  <si>
    <t>n=10k</t>
  </si>
  <si>
    <t>n=100k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</si>
</sst>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ont="1"/>
    <xf numFmtId="0" fontId="2" fillId="0" borderId="0" xfId="0" applyFont="1"/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65" fontId="0" fillId="0" borderId="1" xfId="0" applyNumberFormat="1" applyFon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Confronto Hadoop/Spark (K=7, D=3)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Hadoop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Foglio1!$A$24:$C$24</c:f>
                <c:numCache>
                  <c:formatCode>General</c:formatCode>
                  <c:ptCount val="3"/>
                  <c:pt idx="0">
                    <c:v>83.324607476460059</c:v>
                  </c:pt>
                  <c:pt idx="1">
                    <c:v>81.003775953857371</c:v>
                  </c:pt>
                  <c:pt idx="2">
                    <c:v>87.585059237385408</c:v>
                  </c:pt>
                </c:numCache>
              </c:numRef>
            </c:plus>
            <c:minus>
              <c:numRef>
                <c:f>Foglio1!$A$24:$C$24</c:f>
                <c:numCache>
                  <c:formatCode>General</c:formatCode>
                  <c:ptCount val="3"/>
                  <c:pt idx="0">
                    <c:v>83.324607476460059</c:v>
                  </c:pt>
                  <c:pt idx="1">
                    <c:v>81.003775953857371</c:v>
                  </c:pt>
                  <c:pt idx="2">
                    <c:v>87.585059237385408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Foglio1!$A$65:$D$65</c:f>
              <c:strCache>
                <c:ptCount val="4"/>
                <c:pt idx="0">
                  <c:v>n=1000</c:v>
                </c:pt>
                <c:pt idx="1">
                  <c:v>n=10k</c:v>
                </c:pt>
                <c:pt idx="2">
                  <c:v>n=50k</c:v>
                </c:pt>
                <c:pt idx="3">
                  <c:v>n=100k</c:v>
                </c:pt>
              </c:strCache>
            </c:strRef>
          </c:cat>
          <c:val>
            <c:numRef>
              <c:f>Foglio1!$A$16:$C$16</c:f>
              <c:numCache>
                <c:formatCode>General</c:formatCode>
                <c:ptCount val="3"/>
                <c:pt idx="0">
                  <c:v>520.20630000000006</c:v>
                </c:pt>
                <c:pt idx="1">
                  <c:v>548.58628427010001</c:v>
                </c:pt>
                <c:pt idx="2">
                  <c:v>567.45519999999999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C-47A5-90D8-074881930493}"/>
            </c:ext>
          </c:extLst>
        </c:ser>
        <c:ser>
          <c:idx val="1"/>
          <c:order val="1"/>
          <c:tx>
            <c:v>Spark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Foglio1!$A$56:$D$56</c:f>
                <c:numCache>
                  <c:formatCode>General</c:formatCode>
                  <c:ptCount val="4"/>
                  <c:pt idx="0">
                    <c:v>2.9517872629180233</c:v>
                  </c:pt>
                  <c:pt idx="1">
                    <c:v>5.8110131455728995</c:v>
                  </c:pt>
                  <c:pt idx="2">
                    <c:v>60.473439371263808</c:v>
                  </c:pt>
                  <c:pt idx="3">
                    <c:v>352.83966765642992</c:v>
                  </c:pt>
                </c:numCache>
              </c:numRef>
            </c:plus>
            <c:minus>
              <c:numRef>
                <c:f>Foglio1!$A$56:$D$56</c:f>
                <c:numCache>
                  <c:formatCode>General</c:formatCode>
                  <c:ptCount val="4"/>
                  <c:pt idx="0">
                    <c:v>2.9517872629180233</c:v>
                  </c:pt>
                  <c:pt idx="1">
                    <c:v>5.8110131455728995</c:v>
                  </c:pt>
                  <c:pt idx="2">
                    <c:v>60.473439371263808</c:v>
                  </c:pt>
                  <c:pt idx="3">
                    <c:v>352.83966765642992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Foglio1!$A$65:$D$65</c:f>
              <c:strCache>
                <c:ptCount val="4"/>
                <c:pt idx="0">
                  <c:v>n=1000</c:v>
                </c:pt>
                <c:pt idx="1">
                  <c:v>n=10k</c:v>
                </c:pt>
                <c:pt idx="2">
                  <c:v>n=50k</c:v>
                </c:pt>
                <c:pt idx="3">
                  <c:v>n=100k</c:v>
                </c:pt>
              </c:strCache>
            </c:strRef>
          </c:cat>
          <c:val>
            <c:numRef>
              <c:f>Foglio1!$A$48:$D$48</c:f>
              <c:numCache>
                <c:formatCode>General</c:formatCode>
                <c:ptCount val="4"/>
                <c:pt idx="0">
                  <c:v>35.855399999999996</c:v>
                </c:pt>
                <c:pt idx="1">
                  <c:v>75.504400000000004</c:v>
                </c:pt>
                <c:pt idx="2">
                  <c:v>194.44170000000003</c:v>
                </c:pt>
                <c:pt idx="3">
                  <c:v>906.97149999999999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C-47A5-90D8-074881930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310880"/>
        <c:axId val="874395424"/>
      </c:lineChart>
      <c:catAx>
        <c:axId val="996310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Numero di punti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4395424"/>
        <c:crosses val="autoZero"/>
        <c:auto val="1"/>
        <c:lblAlgn val="ctr"/>
        <c:lblOffset val="100"/>
        <c:noMultiLvlLbl val="0"/>
      </c:catAx>
      <c:valAx>
        <c:axId val="87439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Tempo di esecuzione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sng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9631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974724</xdr:colOff>
      <xdr:row>28</xdr:row>
      <xdr:rowOff>42861</xdr:rowOff>
    </xdr:from>
    <xdr:to>
      <xdr:col>9</xdr:col>
      <xdr:colOff>1057275</xdr:colOff>
      <xdr:row>47</xdr:row>
      <xdr:rowOff>38100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180E732-B5C1-4E99-B34F-4D771DDD0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C6CF-DB53-4D27-9E9A-08FD173B84C9}">
  <dimension ref="A1:M80"/>
  <sheetViews>
    <sheetView tabSelected="1" topLeftCell="A10" zoomScaleNormal="100" workbookViewId="0">
      <selection activeCell="A20" sqref="A20"/>
    </sheetView>
  </sheetViews>
  <sheetFormatPr baseColWidth="10" defaultColWidth="8.83203125" defaultRowHeight="15" x14ac:dyDescent="0.2"/>
  <cols>
    <col min="1" max="1" width="15.6640625" customWidth="1"/>
    <col min="2" max="2" width="16.5" customWidth="1"/>
    <col min="3" max="3" width="17.1640625" customWidth="1"/>
    <col min="4" max="4" width="17.1640625" style="3" customWidth="1"/>
    <col min="5" max="5" width="15.5" customWidth="1"/>
    <col min="6" max="6" width="16.6640625" customWidth="1"/>
    <col min="7" max="7" width="18.33203125" customWidth="1"/>
    <col min="8" max="8" width="16.1640625" customWidth="1"/>
    <col min="9" max="9" width="17.6640625" customWidth="1"/>
    <col min="10" max="10" width="18.33203125" customWidth="1"/>
    <col min="11" max="12" width="17.6640625" customWidth="1"/>
    <col min="13" max="13" width="19.1640625" customWidth="1"/>
    <col min="14" max="14" width="18.5" customWidth="1"/>
    <col min="15" max="15" width="18.83203125" customWidth="1"/>
    <col min="16" max="16" width="19.83203125" customWidth="1"/>
    <col min="17" max="18" width="15.5" customWidth="1"/>
    <col min="19" max="19" width="15.1640625" customWidth="1"/>
  </cols>
  <sheetData>
    <row r="1" spans="1:3" x14ac:dyDescent="0.2">
      <c r="A1" t="s">
        <v>0</v>
      </c>
    </row>
    <row r="2" spans="1:3" x14ac:dyDescent="0.2">
      <c r="A2" t="s">
        <v>2</v>
      </c>
      <c r="B2" t="s">
        <v>3</v>
      </c>
      <c r="C2" t="s">
        <v>10</v>
      </c>
    </row>
    <row r="3" spans="1:3" x14ac:dyDescent="0.2">
      <c r="A3" s="4">
        <v>627.48</v>
      </c>
      <c r="B3" s="7">
        <v>497.16199999999998</v>
      </c>
      <c r="C3">
        <v>635.29899999999998</v>
      </c>
    </row>
    <row r="4" spans="1:3" x14ac:dyDescent="0.2">
      <c r="A4" s="4">
        <v>722.28399999999999</v>
      </c>
      <c r="B4" s="7">
        <v>624.88384270100005</v>
      </c>
      <c r="C4">
        <v>423.57799999999997</v>
      </c>
    </row>
    <row r="5" spans="1:3" x14ac:dyDescent="0.2">
      <c r="A5" s="4">
        <v>416.82499999999999</v>
      </c>
      <c r="B5" s="7">
        <v>779.68899999999996</v>
      </c>
      <c r="C5">
        <v>670.875</v>
      </c>
    </row>
    <row r="6" spans="1:3" x14ac:dyDescent="0.2">
      <c r="A6" s="4">
        <v>495.74799999999999</v>
      </c>
      <c r="B6" s="7">
        <v>492.31299999999999</v>
      </c>
      <c r="C6">
        <v>460.85899999999998</v>
      </c>
    </row>
    <row r="7" spans="1:3" x14ac:dyDescent="0.2">
      <c r="A7" s="4">
        <v>514.80499999999995</v>
      </c>
      <c r="B7" s="7">
        <v>634.48400000000004</v>
      </c>
      <c r="C7">
        <v>589.21500000000003</v>
      </c>
    </row>
    <row r="8" spans="1:3" x14ac:dyDescent="0.2">
      <c r="A8" s="4">
        <v>335.86</v>
      </c>
      <c r="B8" s="7">
        <v>376.55799999999999</v>
      </c>
      <c r="C8">
        <v>563.82899999999995</v>
      </c>
    </row>
    <row r="9" spans="1:3" x14ac:dyDescent="0.2">
      <c r="A9" s="4">
        <v>395.71899999999999</v>
      </c>
      <c r="B9" s="6">
        <v>517.16600000000005</v>
      </c>
      <c r="C9">
        <v>644.47900000000004</v>
      </c>
    </row>
    <row r="10" spans="1:3" x14ac:dyDescent="0.2">
      <c r="A10" s="4">
        <v>606.75400000000002</v>
      </c>
      <c r="B10" s="7">
        <v>443.70400000000001</v>
      </c>
      <c r="C10">
        <v>548.45100000000002</v>
      </c>
    </row>
    <row r="11" spans="1:3" x14ac:dyDescent="0.2">
      <c r="A11" s="4">
        <v>528.93299999999999</v>
      </c>
      <c r="B11" s="7">
        <v>536.06100000000004</v>
      </c>
      <c r="C11">
        <v>368.02699999999999</v>
      </c>
    </row>
    <row r="12" spans="1:3" x14ac:dyDescent="0.2">
      <c r="A12" s="4">
        <v>557.65499999999997</v>
      </c>
      <c r="B12" s="7">
        <v>583.84199999999998</v>
      </c>
      <c r="C12">
        <v>769.94</v>
      </c>
    </row>
    <row r="15" spans="1:3" x14ac:dyDescent="0.2">
      <c r="A15" t="s">
        <v>5</v>
      </c>
    </row>
    <row r="16" spans="1:3" x14ac:dyDescent="0.2">
      <c r="A16">
        <f>AVERAGE(A3:A12)</f>
        <v>520.20630000000006</v>
      </c>
      <c r="B16">
        <f t="shared" ref="B16:C16" si="0">AVERAGE(B3:B12)</f>
        <v>548.58628427010001</v>
      </c>
      <c r="C16">
        <f t="shared" si="0"/>
        <v>567.45519999999999</v>
      </c>
    </row>
    <row r="17" spans="1:13" x14ac:dyDescent="0.2">
      <c r="A17" t="s">
        <v>6</v>
      </c>
    </row>
    <row r="18" spans="1:13" x14ac:dyDescent="0.2">
      <c r="A18">
        <f>_xlfn.STDEV.S(A3:A12)</f>
        <v>116.47976944235586</v>
      </c>
      <c r="B18" s="5">
        <f t="shared" ref="B18:C18" si="1">_xlfn.STDEV.S(B3:B12)</f>
        <v>113.23547068290854</v>
      </c>
      <c r="C18" s="5">
        <f t="shared" si="1"/>
        <v>122.43547033147269</v>
      </c>
      <c r="D18" s="5"/>
      <c r="E18" s="5"/>
      <c r="F18" s="5"/>
      <c r="G18" s="5"/>
      <c r="H18" s="5"/>
      <c r="I18" s="5"/>
      <c r="J18" s="5"/>
      <c r="K18" s="5"/>
      <c r="L18" s="5"/>
      <c r="M18" s="5"/>
    </row>
    <row r="20" spans="1:13" x14ac:dyDescent="0.2">
      <c r="A20" s="1" t="s">
        <v>8</v>
      </c>
    </row>
    <row r="21" spans="1:13" x14ac:dyDescent="0.2">
      <c r="A21">
        <f>_xlfn.T.INV(0.975, 9)</f>
        <v>2.2621571627982049</v>
      </c>
      <c r="B21">
        <f t="shared" ref="B21:C21" si="2">_xlfn.T.INV(0.975, 9)</f>
        <v>2.2621571627982049</v>
      </c>
      <c r="C21">
        <f t="shared" si="2"/>
        <v>2.2621571627982049</v>
      </c>
    </row>
    <row r="23" spans="1:13" x14ac:dyDescent="0.2">
      <c r="A23" t="s">
        <v>7</v>
      </c>
    </row>
    <row r="24" spans="1:13" x14ac:dyDescent="0.2">
      <c r="A24">
        <f>(A18/SQRT(10))*A21</f>
        <v>83.324607476460059</v>
      </c>
      <c r="B24" s="5">
        <f t="shared" ref="B24:C24" si="3">(B18/SQRT(10))*B21</f>
        <v>81.003775953857371</v>
      </c>
      <c r="C24" s="5">
        <f t="shared" si="3"/>
        <v>87.585059237385408</v>
      </c>
      <c r="D24" s="5"/>
      <c r="E24" s="5"/>
      <c r="F24" s="5"/>
      <c r="G24" s="5"/>
      <c r="H24" s="5"/>
      <c r="I24" s="5"/>
      <c r="J24" s="5"/>
      <c r="K24" s="5"/>
      <c r="L24" s="5"/>
      <c r="M24" s="5"/>
    </row>
    <row r="26" spans="1:13" x14ac:dyDescent="0.2">
      <c r="A26" t="s">
        <v>9</v>
      </c>
    </row>
    <row r="27" spans="1:13" x14ac:dyDescent="0.2">
      <c r="A27">
        <f>A16-A24</f>
        <v>436.88169252353998</v>
      </c>
      <c r="B27">
        <f t="shared" ref="B27:C27" si="4">B16-B24</f>
        <v>467.58250831624264</v>
      </c>
      <c r="C27">
        <f t="shared" si="4"/>
        <v>479.8701407626146</v>
      </c>
    </row>
    <row r="28" spans="1:13" x14ac:dyDescent="0.2">
      <c r="A28">
        <f>A16</f>
        <v>520.20630000000006</v>
      </c>
      <c r="B28">
        <f t="shared" ref="B28:C28" si="5">B16</f>
        <v>548.58628427010001</v>
      </c>
      <c r="C28">
        <f t="shared" si="5"/>
        <v>567.45519999999999</v>
      </c>
    </row>
    <row r="29" spans="1:13" x14ac:dyDescent="0.2">
      <c r="A29">
        <f>A16+A24</f>
        <v>603.53090747646013</v>
      </c>
      <c r="B29">
        <f t="shared" ref="B29:C29" si="6">B16+B24</f>
        <v>629.59006022395738</v>
      </c>
      <c r="C29">
        <f t="shared" si="6"/>
        <v>655.04025923738538</v>
      </c>
    </row>
    <row r="33" spans="1:13" x14ac:dyDescent="0.2">
      <c r="A33" t="s">
        <v>1</v>
      </c>
    </row>
    <row r="34" spans="1:13" x14ac:dyDescent="0.2">
      <c r="A34" t="s">
        <v>2</v>
      </c>
      <c r="B34" t="s">
        <v>3</v>
      </c>
      <c r="C34" t="s">
        <v>10</v>
      </c>
      <c r="D34" s="3" t="s">
        <v>4</v>
      </c>
    </row>
    <row r="35" spans="1:13" x14ac:dyDescent="0.2">
      <c r="A35" s="9">
        <v>32.555999999999997</v>
      </c>
      <c r="B35" s="11">
        <v>86.62</v>
      </c>
      <c r="C35" s="12">
        <v>130.898</v>
      </c>
      <c r="D35" s="16">
        <v>378.68900000000002</v>
      </c>
    </row>
    <row r="36" spans="1:13" x14ac:dyDescent="0.2">
      <c r="A36" s="8">
        <v>31.43</v>
      </c>
      <c r="B36" s="11">
        <v>78.007999999999996</v>
      </c>
      <c r="C36" s="13">
        <v>344.29700000000003</v>
      </c>
      <c r="D36" s="18">
        <v>414.303</v>
      </c>
    </row>
    <row r="37" spans="1:13" x14ac:dyDescent="0.2">
      <c r="A37" s="9">
        <v>38.046999999999997</v>
      </c>
      <c r="B37" s="11">
        <v>75.066000000000003</v>
      </c>
      <c r="C37" s="12">
        <v>208.84100000000001</v>
      </c>
      <c r="D37" s="16">
        <v>1734.7629999999999</v>
      </c>
    </row>
    <row r="38" spans="1:13" x14ac:dyDescent="0.2">
      <c r="A38" s="8">
        <v>41.494999999999997</v>
      </c>
      <c r="B38" s="11">
        <v>81.906999999999996</v>
      </c>
      <c r="C38" s="12">
        <v>225.22800000000001</v>
      </c>
      <c r="D38" s="18">
        <v>932.44399999999996</v>
      </c>
    </row>
    <row r="39" spans="1:13" x14ac:dyDescent="0.2">
      <c r="A39" s="8">
        <v>37.374000000000002</v>
      </c>
      <c r="B39" s="11">
        <v>69.695999999999998</v>
      </c>
      <c r="C39" s="14">
        <v>140.45699999999999</v>
      </c>
      <c r="D39" s="19">
        <v>857.40099999999995</v>
      </c>
    </row>
    <row r="40" spans="1:13" x14ac:dyDescent="0.2">
      <c r="A40" s="8">
        <v>31.760999999999999</v>
      </c>
      <c r="B40" s="11">
        <v>92.251000000000005</v>
      </c>
      <c r="C40" s="13">
        <v>122.518</v>
      </c>
      <c r="D40" s="17">
        <v>726.26700000000005</v>
      </c>
    </row>
    <row r="41" spans="1:13" s="5" customFormat="1" x14ac:dyDescent="0.2">
      <c r="A41" s="9">
        <v>41.356999999999999</v>
      </c>
      <c r="B41" s="11">
        <v>64.150000000000006</v>
      </c>
      <c r="C41" s="13">
        <v>90.997</v>
      </c>
      <c r="D41" s="17">
        <v>1974.0940000000001</v>
      </c>
    </row>
    <row r="42" spans="1:13" s="5" customFormat="1" x14ac:dyDescent="0.2">
      <c r="A42" s="9">
        <v>38.726999999999997</v>
      </c>
      <c r="B42" s="11">
        <v>76.388999999999996</v>
      </c>
      <c r="C42" s="14">
        <v>294.91300000000001</v>
      </c>
      <c r="D42" s="17">
        <v>590.95600000000002</v>
      </c>
    </row>
    <row r="43" spans="1:13" s="5" customFormat="1" x14ac:dyDescent="0.2">
      <c r="A43" s="9">
        <v>32.064</v>
      </c>
      <c r="B43" s="11">
        <v>64.625</v>
      </c>
      <c r="C43" s="14">
        <v>188.863</v>
      </c>
      <c r="D43" s="19">
        <v>370.137</v>
      </c>
    </row>
    <row r="44" spans="1:13" s="5" customFormat="1" x14ac:dyDescent="0.2">
      <c r="A44" s="10">
        <v>33.743000000000002</v>
      </c>
      <c r="B44" s="11">
        <v>66.331999999999994</v>
      </c>
      <c r="C44" s="13">
        <v>197.405</v>
      </c>
      <c r="D44" s="17">
        <v>1090.6610000000001</v>
      </c>
    </row>
    <row r="45" spans="1:13" s="5" customFormat="1" x14ac:dyDescent="0.2"/>
    <row r="46" spans="1:13" s="5" customFormat="1" x14ac:dyDescent="0.2"/>
    <row r="47" spans="1:13" x14ac:dyDescent="0.2">
      <c r="A47" t="s">
        <v>5</v>
      </c>
    </row>
    <row r="48" spans="1:13" x14ac:dyDescent="0.2">
      <c r="A48">
        <f>AVERAGE(A35:A44)</f>
        <v>35.855399999999996</v>
      </c>
      <c r="B48" s="5">
        <f t="shared" ref="B48:D48" si="7">AVERAGE(B35:B44)</f>
        <v>75.504400000000004</v>
      </c>
      <c r="C48" s="5">
        <f t="shared" si="7"/>
        <v>194.44170000000003</v>
      </c>
      <c r="D48" s="5">
        <f t="shared" si="7"/>
        <v>906.97149999999999</v>
      </c>
      <c r="E48" s="5"/>
      <c r="F48" s="5"/>
      <c r="G48" s="5"/>
      <c r="H48" s="5"/>
      <c r="I48" s="5"/>
      <c r="J48" s="5"/>
      <c r="K48" s="5"/>
      <c r="L48" s="5"/>
      <c r="M48" s="5"/>
    </row>
    <row r="49" spans="1:13" x14ac:dyDescent="0.2">
      <c r="A49" t="s">
        <v>6</v>
      </c>
    </row>
    <row r="50" spans="1:13" x14ac:dyDescent="0.2">
      <c r="A50">
        <f>_xlfn.STDEV.S(A35:A40)</f>
        <v>4.126314065442279</v>
      </c>
      <c r="B50">
        <f t="shared" ref="B50:D50" si="8">_xlfn.STDEV.S(B35:B40)</f>
        <v>8.1232362434356613</v>
      </c>
      <c r="C50">
        <f t="shared" si="8"/>
        <v>84.536039096746634</v>
      </c>
      <c r="D50" s="15">
        <f t="shared" si="8"/>
        <v>493.23584452947063</v>
      </c>
    </row>
    <row r="52" spans="1:13" x14ac:dyDescent="0.2">
      <c r="A52" s="1" t="s">
        <v>8</v>
      </c>
    </row>
    <row r="53" spans="1:13" x14ac:dyDescent="0.2">
      <c r="A53">
        <f>_xlfn.T.INV(0.975, 9)</f>
        <v>2.2621571627982049</v>
      </c>
      <c r="B53">
        <f t="shared" ref="B53:D53" si="9">_xlfn.T.INV(0.975, 9)</f>
        <v>2.2621571627982049</v>
      </c>
      <c r="C53">
        <f t="shared" si="9"/>
        <v>2.2621571627982049</v>
      </c>
      <c r="D53" s="15">
        <f t="shared" si="9"/>
        <v>2.2621571627982049</v>
      </c>
    </row>
    <row r="55" spans="1:13" x14ac:dyDescent="0.2">
      <c r="A55" t="s">
        <v>7</v>
      </c>
    </row>
    <row r="56" spans="1:13" x14ac:dyDescent="0.2">
      <c r="A56">
        <f>(A50/SQRT(10))*A53</f>
        <v>2.9517872629180233</v>
      </c>
      <c r="B56" s="5">
        <f t="shared" ref="B56:D56" si="10">(B50/SQRT(10))*B53</f>
        <v>5.8110131455728995</v>
      </c>
      <c r="C56" s="5">
        <f t="shared" si="10"/>
        <v>60.473439371263808</v>
      </c>
      <c r="D56" s="5">
        <f t="shared" si="10"/>
        <v>352.83966765642992</v>
      </c>
      <c r="E56" s="5"/>
      <c r="F56" s="5"/>
      <c r="G56" s="5"/>
      <c r="H56" s="5"/>
      <c r="I56" s="5"/>
      <c r="J56" s="5"/>
      <c r="K56" s="5"/>
      <c r="L56" s="5"/>
      <c r="M56" s="5"/>
    </row>
    <row r="59" spans="1:13" x14ac:dyDescent="0.2">
      <c r="A59" t="s">
        <v>9</v>
      </c>
    </row>
    <row r="60" spans="1:13" x14ac:dyDescent="0.2">
      <c r="A60">
        <f>A48-A56</f>
        <v>32.903612737081971</v>
      </c>
      <c r="B60">
        <f t="shared" ref="B60:C60" si="11">B48-B56</f>
        <v>69.693386854427104</v>
      </c>
      <c r="C60">
        <f t="shared" si="11"/>
        <v>133.96826062873623</v>
      </c>
    </row>
    <row r="61" spans="1:13" x14ac:dyDescent="0.2">
      <c r="A61">
        <f>A48</f>
        <v>35.855399999999996</v>
      </c>
      <c r="B61">
        <f t="shared" ref="B61:C61" si="12">B48</f>
        <v>75.504400000000004</v>
      </c>
      <c r="C61">
        <f t="shared" si="12"/>
        <v>194.44170000000003</v>
      </c>
    </row>
    <row r="62" spans="1:13" x14ac:dyDescent="0.2">
      <c r="A62">
        <f>A48+A56</f>
        <v>38.807187262918021</v>
      </c>
      <c r="B62">
        <f t="shared" ref="B62:C62" si="13">B48+B56</f>
        <v>81.315413145572904</v>
      </c>
      <c r="C62">
        <f t="shared" si="13"/>
        <v>254.91513937126382</v>
      </c>
    </row>
    <row r="65" spans="1:11" x14ac:dyDescent="0.2">
      <c r="A65" t="s">
        <v>11</v>
      </c>
      <c r="B65" t="s">
        <v>13</v>
      </c>
      <c r="C65" t="s">
        <v>12</v>
      </c>
      <c r="D65" s="3" t="s">
        <v>14</v>
      </c>
    </row>
    <row r="70" spans="1:11" x14ac:dyDescent="0.2">
      <c r="I70" s="2"/>
    </row>
    <row r="71" spans="1:11" x14ac:dyDescent="0.2">
      <c r="K71" s="2"/>
    </row>
    <row r="80" spans="1:11" x14ac:dyDescent="0.2">
      <c r="I80" s="2"/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Bacciottini</dc:creator>
  <cp:lastModifiedBy>EMILIO PAOLINI</cp:lastModifiedBy>
  <dcterms:created xsi:type="dcterms:W3CDTF">2020-07-17T19:51:06Z</dcterms:created>
  <dcterms:modified xsi:type="dcterms:W3CDTF">2020-07-24T09:14:22Z</dcterms:modified>
</cp:coreProperties>
</file>