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emiliopaolini/Downloads/drive-download-20210110T194210Z-001/"/>
    </mc:Choice>
  </mc:AlternateContent>
  <xr:revisionPtr revIDLastSave="0" documentId="13_ncr:1_{13517769-F0BB-F243-B753-2B91D28D42A7}" xr6:coauthVersionLast="45" xr6:coauthVersionMax="45" xr10:uidLastSave="{00000000-0000-0000-0000-000000000000}"/>
  <bookViews>
    <workbookView xWindow="0" yWindow="460" windowWidth="35840" windowHeight="19760" xr2:uid="{ABA2F62A-4AFF-4F2A-9C61-149A87522F3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7" i="1" l="1"/>
  <c r="C87" i="1"/>
  <c r="B87" i="1"/>
  <c r="A87" i="1"/>
  <c r="D84" i="1"/>
  <c r="D90" i="1" s="1"/>
  <c r="C84" i="1"/>
  <c r="C90" i="1" s="1"/>
  <c r="B84" i="1"/>
  <c r="A84" i="1"/>
  <c r="A90" i="1" s="1"/>
  <c r="D82" i="1"/>
  <c r="C82" i="1"/>
  <c r="B82" i="1"/>
  <c r="A82" i="1"/>
  <c r="D54" i="1"/>
  <c r="C54" i="1"/>
  <c r="B54" i="1"/>
  <c r="A54" i="1"/>
  <c r="D51" i="1"/>
  <c r="D57" i="1" s="1"/>
  <c r="C51" i="1"/>
  <c r="B51" i="1"/>
  <c r="A51" i="1"/>
  <c r="A57" i="1" s="1"/>
  <c r="D49" i="1"/>
  <c r="C49" i="1"/>
  <c r="B49" i="1"/>
  <c r="A49" i="1"/>
  <c r="B57" i="1" l="1"/>
  <c r="B63" i="1" s="1"/>
  <c r="C57" i="1"/>
  <c r="C61" i="1" s="1"/>
  <c r="B90" i="1"/>
  <c r="B96" i="1" s="1"/>
  <c r="D96" i="1"/>
  <c r="C96" i="1"/>
  <c r="A96" i="1"/>
  <c r="A94" i="1"/>
  <c r="A95" i="1"/>
  <c r="B95" i="1"/>
  <c r="C94" i="1"/>
  <c r="C95" i="1"/>
  <c r="D94" i="1"/>
  <c r="D95" i="1"/>
  <c r="A63" i="1"/>
  <c r="D63" i="1"/>
  <c r="A61" i="1"/>
  <c r="A62" i="1"/>
  <c r="B61" i="1"/>
  <c r="B62" i="1"/>
  <c r="C62" i="1"/>
  <c r="D61" i="1"/>
  <c r="D62" i="1"/>
  <c r="B94" i="1" l="1"/>
  <c r="C63" i="1"/>
  <c r="A21" i="1"/>
  <c r="D21" i="1"/>
  <c r="C21" i="1"/>
  <c r="B21" i="1"/>
  <c r="B18" i="1"/>
  <c r="B24" i="1" s="1"/>
  <c r="C18" i="1"/>
  <c r="C24" i="1" s="1"/>
  <c r="D18" i="1"/>
  <c r="A18" i="1"/>
  <c r="C16" i="1"/>
  <c r="D16" i="1"/>
  <c r="B16" i="1"/>
  <c r="A16" i="1"/>
  <c r="A24" i="1" l="1"/>
  <c r="A28" i="1" s="1"/>
  <c r="D24" i="1"/>
  <c r="D30" i="1" s="1"/>
  <c r="D29" i="1"/>
  <c r="C30" i="1"/>
  <c r="C28" i="1"/>
  <c r="B28" i="1"/>
  <c r="A29" i="1"/>
  <c r="A30" i="1"/>
  <c r="B30" i="1"/>
  <c r="C29" i="1"/>
  <c r="B29" i="1"/>
  <c r="D28" i="1" l="1"/>
</calcChain>
</file>

<file path=xl/sharedStrings.xml><?xml version="1.0" encoding="utf-8"?>
<sst xmlns="http://schemas.openxmlformats.org/spreadsheetml/2006/main" count="30" uniqueCount="12">
  <si>
    <t>Mean</t>
  </si>
  <si>
    <t>S</t>
  </si>
  <si>
    <t>CI</t>
  </si>
  <si>
    <t>t95,n-1</t>
  </si>
  <si>
    <t>k=10</t>
  </si>
  <si>
    <t>k=50</t>
  </si>
  <si>
    <t>k=100</t>
  </si>
  <si>
    <t>Pre-trained model</t>
  </si>
  <si>
    <t>Fine-tuned model (gap)</t>
  </si>
  <si>
    <t>Fine-tuned model (dense)</t>
  </si>
  <si>
    <t>k=5</t>
  </si>
  <si>
    <t>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</si>
</sst>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Verdana"/>
      <family val="2"/>
      <scheme val="minor"/>
    </font>
    <font>
      <sz val="8"/>
      <name val="Verdana"/>
      <family val="2"/>
      <scheme val="minor"/>
    </font>
    <font>
      <u/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FF000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/>
    <xf numFmtId="9" fontId="0" fillId="0" borderId="0" xfId="0" applyNumberFormat="1"/>
    <xf numFmtId="0" fontId="4" fillId="0" borderId="0" xfId="0" applyFont="1"/>
    <xf numFmtId="0" fontId="4" fillId="0" borderId="1" xfId="0" applyFont="1" applyBorder="1"/>
    <xf numFmtId="10" fontId="4" fillId="0" borderId="1" xfId="1" applyNumberFormat="1" applyFont="1" applyBorder="1"/>
    <xf numFmtId="10" fontId="4" fillId="0" borderId="1" xfId="1" applyNumberFormat="1" applyFont="1" applyFill="1" applyBorder="1"/>
    <xf numFmtId="10" fontId="4" fillId="0" borderId="1" xfId="0" applyNumberFormat="1" applyFont="1" applyBorder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10" fontId="4" fillId="0" borderId="0" xfId="1" applyNumberFormat="1" applyFont="1"/>
    <xf numFmtId="10" fontId="0" fillId="0" borderId="0" xfId="0" applyNumberFormat="1"/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5848484945640138E-2"/>
          <c:y val="0.10803578474801698"/>
          <c:w val="0.89449980357822878"/>
          <c:h val="0.7114623893510128"/>
        </c:manualLayout>
      </c:layout>
      <c:lineChart>
        <c:grouping val="standard"/>
        <c:varyColors val="0"/>
        <c:ser>
          <c:idx val="0"/>
          <c:order val="0"/>
          <c:tx>
            <c:v>Fine-tuned model with gap layer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Foglio1!$A$57:$D$57</c:f>
                <c:numCache>
                  <c:formatCode>General</c:formatCode>
                  <c:ptCount val="4"/>
                  <c:pt idx="0">
                    <c:v>2.2136813949146298E-2</c:v>
                  </c:pt>
                  <c:pt idx="1">
                    <c:v>2.4238437524089579E-2</c:v>
                  </c:pt>
                  <c:pt idx="2">
                    <c:v>1.9311465033313383E-2</c:v>
                  </c:pt>
                  <c:pt idx="3">
                    <c:v>3.656130058263829E-2</c:v>
                  </c:pt>
                </c:numCache>
              </c:numRef>
            </c:plus>
            <c:minus>
              <c:numRef>
                <c:f>Foglio1!$A$57:$D$57</c:f>
                <c:numCache>
                  <c:formatCode>General</c:formatCode>
                  <c:ptCount val="4"/>
                  <c:pt idx="0">
                    <c:v>2.2136813949146298E-2</c:v>
                  </c:pt>
                  <c:pt idx="1">
                    <c:v>2.4238437524089579E-2</c:v>
                  </c:pt>
                  <c:pt idx="2">
                    <c:v>1.9311465033313383E-2</c:v>
                  </c:pt>
                  <c:pt idx="3">
                    <c:v>3.656130058263829E-2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cat>
            <c:strRef>
              <c:f>Foglio1!$A$68:$D$68</c:f>
              <c:strCache>
                <c:ptCount val="4"/>
                <c:pt idx="0">
                  <c:v>k=5</c:v>
                </c:pt>
                <c:pt idx="1">
                  <c:v>k=10</c:v>
                </c:pt>
                <c:pt idx="2">
                  <c:v>k=50</c:v>
                </c:pt>
                <c:pt idx="3">
                  <c:v>k=100</c:v>
                </c:pt>
              </c:strCache>
            </c:strRef>
          </c:cat>
          <c:val>
            <c:numRef>
              <c:f>Foglio1!$A$49:$D$49</c:f>
              <c:numCache>
                <c:formatCode>0.00%</c:formatCode>
                <c:ptCount val="4"/>
                <c:pt idx="0">
                  <c:v>0.89701666666666624</c:v>
                </c:pt>
                <c:pt idx="1">
                  <c:v>0.87148531084656045</c:v>
                </c:pt>
                <c:pt idx="2">
                  <c:v>0.83340319370483917</c:v>
                </c:pt>
                <c:pt idx="3">
                  <c:v>0.79414451392652574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F0-6D47-8618-83408739CE07}"/>
            </c:ext>
          </c:extLst>
        </c:ser>
        <c:ser>
          <c:idx val="1"/>
          <c:order val="1"/>
          <c:tx>
            <c:v>Pre-trained model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Foglio1!$A$90:$D$90</c:f>
                <c:numCache>
                  <c:formatCode>General</c:formatCode>
                  <c:ptCount val="4"/>
                  <c:pt idx="0">
                    <c:v>2.0478280778658764E-2</c:v>
                  </c:pt>
                  <c:pt idx="1">
                    <c:v>2.2801686117542012E-2</c:v>
                  </c:pt>
                  <c:pt idx="2">
                    <c:v>2.4848360438533543E-2</c:v>
                  </c:pt>
                  <c:pt idx="3">
                    <c:v>2.4023466431611074E-2</c:v>
                  </c:pt>
                </c:numCache>
              </c:numRef>
            </c:plus>
            <c:minus>
              <c:numRef>
                <c:f>Foglio1!$A$90:$D$90</c:f>
                <c:numCache>
                  <c:formatCode>General</c:formatCode>
                  <c:ptCount val="4"/>
                  <c:pt idx="0">
                    <c:v>2.0478280778658764E-2</c:v>
                  </c:pt>
                  <c:pt idx="1">
                    <c:v>2.2801686117542012E-2</c:v>
                  </c:pt>
                  <c:pt idx="2">
                    <c:v>2.4848360438533543E-2</c:v>
                  </c:pt>
                  <c:pt idx="3">
                    <c:v>2.4023466431611074E-2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cat>
            <c:strRef>
              <c:f>Foglio1!$A$68:$D$68</c:f>
              <c:strCache>
                <c:ptCount val="4"/>
                <c:pt idx="0">
                  <c:v>k=5</c:v>
                </c:pt>
                <c:pt idx="1">
                  <c:v>k=10</c:v>
                </c:pt>
                <c:pt idx="2">
                  <c:v>k=50</c:v>
                </c:pt>
                <c:pt idx="3">
                  <c:v>k=100</c:v>
                </c:pt>
              </c:strCache>
            </c:strRef>
          </c:cat>
          <c:val>
            <c:numRef>
              <c:f>Foglio1!$A$82:$D$82</c:f>
              <c:numCache>
                <c:formatCode>0.00%</c:formatCode>
                <c:ptCount val="4"/>
                <c:pt idx="0">
                  <c:v>0.84540277777777728</c:v>
                </c:pt>
                <c:pt idx="1">
                  <c:v>0.81470925768455493</c:v>
                </c:pt>
                <c:pt idx="2">
                  <c:v>0.7417340907183263</c:v>
                </c:pt>
                <c:pt idx="3">
                  <c:v>0.70694868981088888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F0-6D47-8618-83408739CE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96310880"/>
        <c:axId val="874395424"/>
      </c:lineChart>
      <c:catAx>
        <c:axId val="99631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4395424"/>
        <c:crosses val="autoZero"/>
        <c:auto val="1"/>
        <c:lblAlgn val="ctr"/>
        <c:lblOffset val="100"/>
        <c:noMultiLvlLbl val="0"/>
      </c:catAx>
      <c:valAx>
        <c:axId val="874395424"/>
        <c:scaling>
          <c:orientation val="minMax"/>
          <c:max val="0.93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631088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0489189066055312E-2"/>
          <c:y val="0.10803563320250782"/>
          <c:w val="0.89449980357822878"/>
          <c:h val="0.7114623893510128"/>
        </c:manualLayout>
      </c:layout>
      <c:lineChart>
        <c:grouping val="standard"/>
        <c:varyColors val="0"/>
        <c:ser>
          <c:idx val="0"/>
          <c:order val="0"/>
          <c:tx>
            <c:v>Fine-tuned model with dense layers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Foglio1!$A$24:$D$24</c:f>
                <c:numCache>
                  <c:formatCode>General</c:formatCode>
                  <c:ptCount val="4"/>
                  <c:pt idx="0">
                    <c:v>1.2815248497084526E-2</c:v>
                  </c:pt>
                  <c:pt idx="1">
                    <c:v>1.8825565313938999E-2</c:v>
                  </c:pt>
                  <c:pt idx="2">
                    <c:v>1.9539539991892237E-2</c:v>
                  </c:pt>
                  <c:pt idx="3">
                    <c:v>2.2348494267491591E-2</c:v>
                  </c:pt>
                </c:numCache>
              </c:numRef>
            </c:plus>
            <c:minus>
              <c:numRef>
                <c:f>Foglio1!$A$24:$D$24</c:f>
                <c:numCache>
                  <c:formatCode>General</c:formatCode>
                  <c:ptCount val="4"/>
                  <c:pt idx="0">
                    <c:v>1.2815248497084526E-2</c:v>
                  </c:pt>
                  <c:pt idx="1">
                    <c:v>1.8825565313938999E-2</c:v>
                  </c:pt>
                  <c:pt idx="2">
                    <c:v>1.9539539991892237E-2</c:v>
                  </c:pt>
                  <c:pt idx="3">
                    <c:v>2.2348494267491591E-2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strRef>
              <c:f>Foglio1!$A$35:$D$35</c:f>
              <c:strCache>
                <c:ptCount val="4"/>
                <c:pt idx="0">
                  <c:v>k=5</c:v>
                </c:pt>
                <c:pt idx="1">
                  <c:v>k=10</c:v>
                </c:pt>
                <c:pt idx="2">
                  <c:v>k=50</c:v>
                </c:pt>
                <c:pt idx="3">
                  <c:v>k=100</c:v>
                </c:pt>
              </c:strCache>
            </c:strRef>
          </c:cat>
          <c:val>
            <c:numRef>
              <c:f>Foglio1!$A$16:$D$16</c:f>
              <c:numCache>
                <c:formatCode>0.00%</c:formatCode>
                <c:ptCount val="4"/>
                <c:pt idx="0">
                  <c:v>0.85402777777777739</c:v>
                </c:pt>
                <c:pt idx="1">
                  <c:v>0.82210794532627829</c:v>
                </c:pt>
                <c:pt idx="2">
                  <c:v>0.78993406066984539</c:v>
                </c:pt>
                <c:pt idx="3">
                  <c:v>0.77121613436181846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C-5A4E-8274-EA4A4EBDB404}"/>
            </c:ext>
          </c:extLst>
        </c:ser>
        <c:ser>
          <c:idx val="1"/>
          <c:order val="1"/>
          <c:tx>
            <c:v>Fine-tuned model with gap layer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Foglio1!$A$57:$D$57</c:f>
                <c:numCache>
                  <c:formatCode>General</c:formatCode>
                  <c:ptCount val="4"/>
                  <c:pt idx="0">
                    <c:v>2.2136813949146298E-2</c:v>
                  </c:pt>
                  <c:pt idx="1">
                    <c:v>2.4238437524089579E-2</c:v>
                  </c:pt>
                  <c:pt idx="2">
                    <c:v>1.9311465033313383E-2</c:v>
                  </c:pt>
                  <c:pt idx="3">
                    <c:v>3.656130058263829E-2</c:v>
                  </c:pt>
                </c:numCache>
              </c:numRef>
            </c:plus>
            <c:minus>
              <c:numRef>
                <c:f>Foglio1!$A$57:$D$57</c:f>
                <c:numCache>
                  <c:formatCode>General</c:formatCode>
                  <c:ptCount val="4"/>
                  <c:pt idx="0">
                    <c:v>2.2136813949146298E-2</c:v>
                  </c:pt>
                  <c:pt idx="1">
                    <c:v>2.4238437524089579E-2</c:v>
                  </c:pt>
                  <c:pt idx="2">
                    <c:v>1.9311465033313383E-2</c:v>
                  </c:pt>
                  <c:pt idx="3">
                    <c:v>3.656130058263829E-2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cat>
            <c:strRef>
              <c:f>Foglio1!$A$35:$D$35</c:f>
              <c:strCache>
                <c:ptCount val="4"/>
                <c:pt idx="0">
                  <c:v>k=5</c:v>
                </c:pt>
                <c:pt idx="1">
                  <c:v>k=10</c:v>
                </c:pt>
                <c:pt idx="2">
                  <c:v>k=50</c:v>
                </c:pt>
                <c:pt idx="3">
                  <c:v>k=100</c:v>
                </c:pt>
              </c:strCache>
            </c:strRef>
          </c:cat>
          <c:val>
            <c:numRef>
              <c:f>Foglio1!$A$49:$D$49</c:f>
              <c:numCache>
                <c:formatCode>0.00%</c:formatCode>
                <c:ptCount val="4"/>
                <c:pt idx="0">
                  <c:v>0.89701666666666624</c:v>
                </c:pt>
                <c:pt idx="1">
                  <c:v>0.87148531084656045</c:v>
                </c:pt>
                <c:pt idx="2">
                  <c:v>0.83340319370483917</c:v>
                </c:pt>
                <c:pt idx="3">
                  <c:v>0.79414451392652574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7C-5A4E-8274-EA4A4EBDB4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96310880"/>
        <c:axId val="874395424"/>
      </c:lineChart>
      <c:catAx>
        <c:axId val="99631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4395424"/>
        <c:crosses val="autoZero"/>
        <c:auto val="1"/>
        <c:lblAlgn val="ctr"/>
        <c:lblOffset val="100"/>
        <c:noMultiLvlLbl val="0"/>
      </c:catAx>
      <c:valAx>
        <c:axId val="874395424"/>
        <c:scaling>
          <c:orientation val="minMax"/>
          <c:max val="0.98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631088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495436</xdr:colOff>
      <xdr:row>26</xdr:row>
      <xdr:rowOff>38656</xdr:rowOff>
    </xdr:from>
    <xdr:to>
      <xdr:col>10</xdr:col>
      <xdr:colOff>1368555</xdr:colOff>
      <xdr:row>49</xdr:row>
      <xdr:rowOff>104228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180E732-B5C1-4E99-B34F-4D771DDD0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449791</xdr:colOff>
      <xdr:row>1</xdr:row>
      <xdr:rowOff>38654</xdr:rowOff>
    </xdr:from>
    <xdr:to>
      <xdr:col>10</xdr:col>
      <xdr:colOff>1316328</xdr:colOff>
      <xdr:row>24</xdr:row>
      <xdr:rowOff>169141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E1CEFF7-6459-464F-8409-719814814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onsolas-Verdana">
      <a:majorFont>
        <a:latin typeface="Consolas" panose="020B0609020204030204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Verdana" panose="020B060403050404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C6CF-DB53-4D27-9E9A-08FD173B84C9}">
  <dimension ref="A1:V96"/>
  <sheetViews>
    <sheetView tabSelected="1" topLeftCell="B1" zoomScale="109" zoomScaleNormal="110" workbookViewId="0">
      <selection activeCell="E1" sqref="E1"/>
    </sheetView>
  </sheetViews>
  <sheetFormatPr baseColWidth="10" defaultColWidth="8.7109375" defaultRowHeight="14" x14ac:dyDescent="0.15"/>
  <cols>
    <col min="1" max="1" width="15.5703125" customWidth="1"/>
    <col min="2" max="2" width="16.42578125" customWidth="1"/>
    <col min="3" max="3" width="17" customWidth="1"/>
    <col min="4" max="4" width="17" style="2" customWidth="1"/>
    <col min="5" max="5" width="15.42578125" customWidth="1"/>
    <col min="6" max="6" width="16.5703125" customWidth="1"/>
    <col min="7" max="7" width="21.28515625" customWidth="1"/>
    <col min="8" max="8" width="19.5703125" customWidth="1"/>
    <col min="9" max="9" width="21.85546875" customWidth="1"/>
    <col min="10" max="10" width="18.28515625" customWidth="1"/>
    <col min="11" max="12" width="17.5703125" customWidth="1"/>
    <col min="13" max="13" width="19" customWidth="1"/>
    <col min="14" max="14" width="18.42578125" customWidth="1"/>
    <col min="15" max="15" width="18.7109375" customWidth="1"/>
    <col min="16" max="16" width="19.7109375" customWidth="1"/>
    <col min="17" max="18" width="15.42578125" customWidth="1"/>
    <col min="19" max="19" width="15" customWidth="1"/>
    <col min="20" max="20" width="18" customWidth="1"/>
    <col min="21" max="21" width="17.85546875" customWidth="1"/>
  </cols>
  <sheetData>
    <row r="1" spans="1:5" ht="18" x14ac:dyDescent="0.2">
      <c r="A1" s="11" t="s">
        <v>9</v>
      </c>
      <c r="B1" s="12"/>
      <c r="C1" s="5"/>
      <c r="D1" s="5"/>
      <c r="E1" s="5"/>
    </row>
    <row r="2" spans="1:5" x14ac:dyDescent="0.15">
      <c r="A2" s="10" t="s">
        <v>10</v>
      </c>
      <c r="B2" s="10" t="s">
        <v>4</v>
      </c>
      <c r="C2" s="10" t="s">
        <v>5</v>
      </c>
      <c r="D2" s="10" t="s">
        <v>6</v>
      </c>
    </row>
    <row r="3" spans="1:5" x14ac:dyDescent="0.15">
      <c r="A3" s="7">
        <v>0.87761111111111101</v>
      </c>
      <c r="B3" s="7">
        <v>0.80148783068783003</v>
      </c>
      <c r="C3" s="7">
        <v>0.80976254578141904</v>
      </c>
      <c r="D3" s="7">
        <v>0.78387192014238904</v>
      </c>
    </row>
    <row r="4" spans="1:5" x14ac:dyDescent="0.15">
      <c r="A4" s="7">
        <v>0.86888888888888904</v>
      </c>
      <c r="B4" s="7">
        <v>0.82976845553036005</v>
      </c>
      <c r="C4" s="7">
        <v>0.73976676853899503</v>
      </c>
      <c r="D4" s="7">
        <v>0.82777674761694797</v>
      </c>
    </row>
    <row r="5" spans="1:5" x14ac:dyDescent="0.15">
      <c r="A5" s="7">
        <v>0.85958333333333303</v>
      </c>
      <c r="B5" s="7">
        <v>0.84336280234315897</v>
      </c>
      <c r="C5" s="7">
        <v>0.779447851131849</v>
      </c>
      <c r="D5" s="7">
        <v>0.74668127965813502</v>
      </c>
    </row>
    <row r="6" spans="1:5" x14ac:dyDescent="0.15">
      <c r="A6" s="7">
        <v>0.84705555555555501</v>
      </c>
      <c r="B6" s="7">
        <v>0.84466751700680198</v>
      </c>
      <c r="C6" s="7">
        <v>0.76255150811572903</v>
      </c>
      <c r="D6" s="7">
        <v>0.78683337231663597</v>
      </c>
    </row>
    <row r="7" spans="1:5" x14ac:dyDescent="0.15">
      <c r="A7" s="7">
        <v>0.83313888888888898</v>
      </c>
      <c r="B7" s="7">
        <v>0.79400374464600598</v>
      </c>
      <c r="C7" s="7">
        <v>0.77943180184600203</v>
      </c>
      <c r="D7" s="7">
        <v>0.73869146670222696</v>
      </c>
    </row>
    <row r="8" spans="1:5" x14ac:dyDescent="0.15">
      <c r="A8" s="7">
        <v>0.85841666666666605</v>
      </c>
      <c r="B8" s="7">
        <v>0.82504860796170298</v>
      </c>
      <c r="C8" s="7">
        <v>0.77889003298567705</v>
      </c>
      <c r="D8" s="7">
        <v>0.76640050291094897</v>
      </c>
    </row>
    <row r="9" spans="1:5" x14ac:dyDescent="0.15">
      <c r="A9" s="7">
        <v>0.83858333333333301</v>
      </c>
      <c r="B9" s="7">
        <v>0.80874314373897704</v>
      </c>
      <c r="C9" s="7">
        <v>0.81422147200056705</v>
      </c>
      <c r="D9" s="8">
        <v>0.79321042442116796</v>
      </c>
    </row>
    <row r="10" spans="1:5" x14ac:dyDescent="0.15">
      <c r="A10" s="7">
        <v>0.84463888888888805</v>
      </c>
      <c r="B10" s="7">
        <v>0.85178604182413697</v>
      </c>
      <c r="C10" s="7">
        <v>0.79024310160345901</v>
      </c>
      <c r="D10" s="8">
        <v>0.74852659586641201</v>
      </c>
    </row>
    <row r="11" spans="1:5" x14ac:dyDescent="0.15">
      <c r="A11" s="7">
        <v>0.881083333333333</v>
      </c>
      <c r="B11" s="7">
        <v>0.84776873897707195</v>
      </c>
      <c r="C11" s="7">
        <v>0.82257819778107899</v>
      </c>
      <c r="D11" s="8">
        <v>0.72653261331886898</v>
      </c>
    </row>
    <row r="12" spans="1:5" x14ac:dyDescent="0.15">
      <c r="A12" s="7">
        <v>0.831277777777777</v>
      </c>
      <c r="B12" s="7">
        <v>0.77444257054673704</v>
      </c>
      <c r="C12" s="7">
        <v>0.82244732691367795</v>
      </c>
      <c r="D12" s="7">
        <v>0.79363642066445195</v>
      </c>
    </row>
    <row r="13" spans="1:5" x14ac:dyDescent="0.15">
      <c r="A13" s="6"/>
      <c r="B13" s="6"/>
      <c r="C13" s="6"/>
      <c r="D13" s="6"/>
    </row>
    <row r="14" spans="1:5" x14ac:dyDescent="0.15">
      <c r="A14" s="6"/>
      <c r="B14" s="6"/>
      <c r="C14" s="6"/>
      <c r="D14" s="6"/>
    </row>
    <row r="15" spans="1:5" x14ac:dyDescent="0.15">
      <c r="A15" s="10" t="s">
        <v>0</v>
      </c>
      <c r="B15" s="6"/>
      <c r="C15" s="6"/>
      <c r="D15" s="6"/>
    </row>
    <row r="16" spans="1:5" x14ac:dyDescent="0.15">
      <c r="A16" s="9">
        <f>AVERAGE(A3:A12)</f>
        <v>0.85402777777777739</v>
      </c>
      <c r="B16" s="9">
        <f>AVERAGE(B3:B12)</f>
        <v>0.82210794532627829</v>
      </c>
      <c r="C16" s="9">
        <f>AVERAGE(C3:C12)</f>
        <v>0.78993406066984539</v>
      </c>
      <c r="D16" s="9">
        <f>AVERAGE(D3:D12)</f>
        <v>0.77121613436181846</v>
      </c>
    </row>
    <row r="17" spans="1:16" x14ac:dyDescent="0.15">
      <c r="A17" s="10" t="s">
        <v>1</v>
      </c>
      <c r="B17" s="6"/>
      <c r="C17" s="6"/>
      <c r="D17" s="6"/>
    </row>
    <row r="18" spans="1:16" x14ac:dyDescent="0.15">
      <c r="A18" s="7">
        <f>_xlfn.STDEV.S(A3:A12)</f>
        <v>1.7914482113925455E-2</v>
      </c>
      <c r="B18" s="7">
        <f t="shared" ref="B18:D18" si="0">_xlfn.STDEV.S(B3:B12)</f>
        <v>2.6316325678571131E-2</v>
      </c>
      <c r="C18" s="7">
        <f t="shared" si="0"/>
        <v>2.7314393457038233E-2</v>
      </c>
      <c r="D18" s="7">
        <f t="shared" si="0"/>
        <v>3.1241040774139195E-2</v>
      </c>
      <c r="E18" s="3"/>
      <c r="F18" s="3"/>
      <c r="G18" s="3"/>
      <c r="H18" s="3"/>
      <c r="I18" s="3"/>
      <c r="J18" s="3"/>
      <c r="K18" s="3"/>
      <c r="L18" s="3"/>
      <c r="M18" s="3"/>
    </row>
    <row r="19" spans="1:16" x14ac:dyDescent="0.15">
      <c r="A19" s="6"/>
      <c r="B19" s="6"/>
      <c r="C19" s="6"/>
      <c r="D19" s="6"/>
    </row>
    <row r="20" spans="1:16" x14ac:dyDescent="0.15">
      <c r="A20" s="10" t="s">
        <v>3</v>
      </c>
      <c r="B20" s="6"/>
      <c r="C20" s="6"/>
      <c r="D20" s="6"/>
    </row>
    <row r="21" spans="1:16" x14ac:dyDescent="0.15">
      <c r="A21" s="6">
        <f>_xlfn.T.INV(0.975, 9)</f>
        <v>2.2621571627982049</v>
      </c>
      <c r="B21" s="6">
        <f t="shared" ref="B21:D21" si="1">_xlfn.T.INV(0.975, 9)</f>
        <v>2.2621571627982049</v>
      </c>
      <c r="C21" s="6">
        <f t="shared" si="1"/>
        <v>2.2621571627982049</v>
      </c>
      <c r="D21" s="6">
        <f t="shared" si="1"/>
        <v>2.2621571627982049</v>
      </c>
    </row>
    <row r="22" spans="1:16" x14ac:dyDescent="0.15">
      <c r="A22" s="6"/>
      <c r="B22" s="6"/>
      <c r="C22" s="6"/>
      <c r="D22" s="6"/>
      <c r="O22" s="4"/>
    </row>
    <row r="23" spans="1:16" x14ac:dyDescent="0.15">
      <c r="A23" s="10" t="s">
        <v>2</v>
      </c>
      <c r="B23" s="6"/>
      <c r="C23" s="6"/>
      <c r="D23" s="6"/>
      <c r="L23" s="3"/>
      <c r="M23" s="3"/>
      <c r="N23" s="3"/>
      <c r="O23" s="3"/>
      <c r="P23" s="3"/>
    </row>
    <row r="24" spans="1:16" x14ac:dyDescent="0.15">
      <c r="A24" s="7">
        <f>(A18/SQRT(10))*A21</f>
        <v>1.2815248497084526E-2</v>
      </c>
      <c r="B24" s="7">
        <f t="shared" ref="B24:D24" si="2">(B18/SQRT(10))*B21</f>
        <v>1.8825565313938999E-2</v>
      </c>
      <c r="C24" s="7">
        <f t="shared" si="2"/>
        <v>1.9539539991892237E-2</v>
      </c>
      <c r="D24" s="7">
        <f t="shared" si="2"/>
        <v>2.2348494267491591E-2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15">
      <c r="A25" s="6"/>
      <c r="B25" s="6"/>
      <c r="C25" s="6"/>
      <c r="D25" s="6"/>
      <c r="L25" s="3"/>
      <c r="M25" s="3"/>
      <c r="N25" s="3"/>
      <c r="O25" s="3"/>
      <c r="P25" s="3"/>
    </row>
    <row r="26" spans="1:16" x14ac:dyDescent="0.15">
      <c r="A26" s="6"/>
      <c r="B26" s="6"/>
      <c r="C26" s="6"/>
      <c r="D26" s="6"/>
      <c r="L26" s="3"/>
      <c r="M26" s="3"/>
      <c r="N26" s="3"/>
      <c r="O26" s="3"/>
      <c r="P26" s="3"/>
    </row>
    <row r="27" spans="1:16" x14ac:dyDescent="0.15">
      <c r="A27" s="10" t="s">
        <v>11</v>
      </c>
      <c r="B27" s="6"/>
      <c r="C27" s="6"/>
      <c r="D27" s="6"/>
      <c r="L27" s="3"/>
      <c r="M27" s="3"/>
      <c r="N27" s="3"/>
      <c r="O27" s="3"/>
      <c r="P27" s="3"/>
    </row>
    <row r="28" spans="1:16" x14ac:dyDescent="0.15">
      <c r="A28" s="9">
        <f>A16-A24</f>
        <v>0.8412125292806929</v>
      </c>
      <c r="B28" s="9">
        <f t="shared" ref="B28:D28" si="3">B16-B24</f>
        <v>0.80328238001233931</v>
      </c>
      <c r="C28" s="9">
        <f t="shared" si="3"/>
        <v>0.77039452067795311</v>
      </c>
      <c r="D28" s="9">
        <f t="shared" si="3"/>
        <v>0.74886764009432683</v>
      </c>
      <c r="L28" s="3"/>
      <c r="M28" s="3"/>
      <c r="N28" s="3"/>
      <c r="O28" s="3"/>
      <c r="P28" s="3"/>
    </row>
    <row r="29" spans="1:16" x14ac:dyDescent="0.15">
      <c r="A29" s="9">
        <f>A16</f>
        <v>0.85402777777777739</v>
      </c>
      <c r="B29" s="9">
        <f t="shared" ref="B29:D29" si="4">B16</f>
        <v>0.82210794532627829</v>
      </c>
      <c r="C29" s="9">
        <f t="shared" si="4"/>
        <v>0.78993406066984539</v>
      </c>
      <c r="D29" s="9">
        <f t="shared" si="4"/>
        <v>0.77121613436181846</v>
      </c>
      <c r="L29" s="3"/>
      <c r="M29" s="3"/>
      <c r="N29" s="3"/>
      <c r="O29" s="3"/>
      <c r="P29" s="3"/>
    </row>
    <row r="30" spans="1:16" x14ac:dyDescent="0.15">
      <c r="A30" s="9">
        <f>A16+A24</f>
        <v>0.86684302627486187</v>
      </c>
      <c r="B30" s="9">
        <f t="shared" ref="B30:D30" si="5">B16+B24</f>
        <v>0.84093351064021726</v>
      </c>
      <c r="C30" s="9">
        <f t="shared" si="5"/>
        <v>0.80947360066173768</v>
      </c>
      <c r="D30" s="9">
        <f t="shared" si="5"/>
        <v>0.7935646286293101</v>
      </c>
      <c r="L30" s="3"/>
      <c r="M30" s="3"/>
      <c r="N30" s="3"/>
      <c r="O30" s="3"/>
      <c r="P30" s="3"/>
    </row>
    <row r="31" spans="1:16" x14ac:dyDescent="0.15">
      <c r="L31" s="3"/>
      <c r="M31" s="3"/>
      <c r="N31" s="3"/>
      <c r="O31" s="3"/>
      <c r="P31" s="3"/>
    </row>
    <row r="32" spans="1:16" x14ac:dyDescent="0.15">
      <c r="L32" s="3"/>
      <c r="M32" s="3"/>
      <c r="N32" s="3"/>
      <c r="O32" s="3"/>
      <c r="P32" s="3"/>
    </row>
    <row r="33" spans="1:18" x14ac:dyDescent="0.15">
      <c r="F33" s="5"/>
      <c r="K33" s="5"/>
      <c r="L33" s="3"/>
      <c r="M33" s="3"/>
      <c r="N33" s="3"/>
      <c r="O33" s="3"/>
      <c r="P33" s="3"/>
      <c r="Q33" s="5"/>
      <c r="R33" s="5"/>
    </row>
    <row r="34" spans="1:18" ht="18" x14ac:dyDescent="0.2">
      <c r="A34" s="11" t="s">
        <v>8</v>
      </c>
      <c r="B34" s="12"/>
      <c r="C34" s="5"/>
      <c r="D34" s="5"/>
      <c r="E34" s="5"/>
      <c r="F34" s="5"/>
      <c r="K34" s="5"/>
      <c r="L34" s="3"/>
      <c r="M34" s="3"/>
      <c r="N34" s="3"/>
      <c r="O34" s="3"/>
      <c r="P34" s="3"/>
      <c r="Q34" s="5"/>
      <c r="R34" s="5"/>
    </row>
    <row r="35" spans="1:18" x14ac:dyDescent="0.15">
      <c r="A35" s="10" t="s">
        <v>10</v>
      </c>
      <c r="B35" s="10" t="s">
        <v>4</v>
      </c>
      <c r="C35" s="10" t="s">
        <v>5</v>
      </c>
      <c r="D35" s="10" t="s">
        <v>6</v>
      </c>
      <c r="E35" s="5"/>
      <c r="F35" s="5"/>
      <c r="K35" s="5"/>
      <c r="L35" s="3"/>
      <c r="M35" s="3"/>
      <c r="N35" s="3"/>
      <c r="O35" s="3"/>
      <c r="P35" s="3"/>
      <c r="Q35" s="5"/>
      <c r="R35" s="5"/>
    </row>
    <row r="36" spans="1:18" x14ac:dyDescent="0.15">
      <c r="A36" s="7">
        <v>0.85402777777777705</v>
      </c>
      <c r="B36" s="7">
        <v>0.91538593474426799</v>
      </c>
      <c r="C36" s="7">
        <v>0.83546376339821904</v>
      </c>
      <c r="D36" s="7">
        <v>0.80167934211448699</v>
      </c>
      <c r="E36" s="5"/>
      <c r="F36" s="5"/>
      <c r="K36" s="5"/>
      <c r="L36" s="3"/>
      <c r="M36" s="3"/>
      <c r="N36" s="3"/>
      <c r="O36" s="3"/>
      <c r="P36" s="3"/>
      <c r="Q36" s="5"/>
      <c r="R36" s="5"/>
    </row>
    <row r="37" spans="1:18" x14ac:dyDescent="0.15">
      <c r="A37" s="7">
        <v>0.93933333333333302</v>
      </c>
      <c r="B37" s="7">
        <v>0.82601102292768902</v>
      </c>
      <c r="C37" s="7">
        <v>0.81456463296703496</v>
      </c>
      <c r="D37" s="7">
        <v>0.74408736726644997</v>
      </c>
      <c r="E37" s="5"/>
      <c r="F37" s="5"/>
      <c r="K37" s="5"/>
      <c r="L37" s="3"/>
      <c r="M37" s="3"/>
      <c r="N37" s="3"/>
      <c r="O37" s="3"/>
      <c r="P37" s="3"/>
      <c r="Q37" s="5"/>
      <c r="R37" s="5"/>
    </row>
    <row r="38" spans="1:18" x14ac:dyDescent="0.15">
      <c r="A38" s="7">
        <v>0.89194444444444398</v>
      </c>
      <c r="B38" s="7">
        <v>0.88513234441924904</v>
      </c>
      <c r="C38" s="7">
        <v>0.81354904890301905</v>
      </c>
      <c r="D38" s="7">
        <v>0.70501934900061103</v>
      </c>
      <c r="E38" s="5"/>
      <c r="F38" s="5"/>
      <c r="K38" s="5"/>
      <c r="L38" s="3"/>
      <c r="M38" s="3"/>
      <c r="N38" s="3"/>
      <c r="O38" s="3"/>
      <c r="P38" s="3"/>
      <c r="Q38" s="5"/>
      <c r="R38" s="5"/>
    </row>
    <row r="39" spans="1:18" x14ac:dyDescent="0.15">
      <c r="A39" s="7">
        <v>0.91305555555555495</v>
      </c>
      <c r="B39" s="7">
        <v>0.82317595112118902</v>
      </c>
      <c r="C39" s="7">
        <v>0.81655944166831296</v>
      </c>
      <c r="D39" s="7">
        <v>0.84261332882161799</v>
      </c>
      <c r="E39" s="5"/>
      <c r="F39" s="5"/>
      <c r="K39" s="5"/>
      <c r="L39" s="3"/>
      <c r="M39" s="3"/>
      <c r="N39" s="3"/>
      <c r="O39" s="3"/>
      <c r="P39" s="3"/>
      <c r="Q39" s="5"/>
      <c r="R39" s="5"/>
    </row>
    <row r="40" spans="1:18" x14ac:dyDescent="0.15">
      <c r="A40" s="7">
        <v>0.87547222222222199</v>
      </c>
      <c r="B40" s="7">
        <v>0.85709700806248401</v>
      </c>
      <c r="C40" s="7">
        <v>0.84542741630158302</v>
      </c>
      <c r="D40" s="7">
        <v>0.84443747010356596</v>
      </c>
      <c r="E40" s="5"/>
      <c r="F40" s="5"/>
      <c r="K40" s="5"/>
      <c r="L40" s="3"/>
      <c r="M40" s="3"/>
      <c r="N40" s="3"/>
      <c r="O40" s="3"/>
      <c r="P40" s="3"/>
      <c r="Q40" s="5"/>
      <c r="R40" s="5"/>
    </row>
    <row r="41" spans="1:18" s="3" customFormat="1" x14ac:dyDescent="0.15">
      <c r="A41" s="7">
        <v>0.87397222222222204</v>
      </c>
      <c r="B41" s="7">
        <v>0.85551917989417903</v>
      </c>
      <c r="C41" s="7">
        <v>0.877447087897962</v>
      </c>
      <c r="D41" s="7">
        <v>0.84365400844965199</v>
      </c>
      <c r="E41" s="5"/>
      <c r="F41" s="5"/>
      <c r="K41" s="5"/>
      <c r="Q41" s="5"/>
      <c r="R41" s="5"/>
    </row>
    <row r="42" spans="1:18" s="3" customFormat="1" x14ac:dyDescent="0.15">
      <c r="A42" s="7">
        <v>0.95411111111111102</v>
      </c>
      <c r="B42" s="7">
        <v>0.91943940539178604</v>
      </c>
      <c r="C42" s="7">
        <v>0.85901560630358398</v>
      </c>
      <c r="D42" s="8">
        <v>0.85376428140001404</v>
      </c>
      <c r="E42" s="5"/>
      <c r="F42" s="5"/>
      <c r="K42" s="5"/>
      <c r="Q42" s="5"/>
      <c r="R42" s="5"/>
    </row>
    <row r="43" spans="1:18" s="3" customFormat="1" x14ac:dyDescent="0.15">
      <c r="A43" s="7">
        <v>0.90277777777777701</v>
      </c>
      <c r="B43" s="7">
        <v>0.85281221655328798</v>
      </c>
      <c r="C43" s="7">
        <v>0.86098957215859995</v>
      </c>
      <c r="D43" s="8">
        <v>0.77713545125057704</v>
      </c>
      <c r="E43" s="5"/>
      <c r="F43" s="5"/>
      <c r="K43" s="5"/>
      <c r="Q43" s="5"/>
      <c r="R43" s="5"/>
    </row>
    <row r="44" spans="1:18" s="3" customFormat="1" x14ac:dyDescent="0.15">
      <c r="A44" s="7">
        <v>0.88216666666666599</v>
      </c>
      <c r="B44" s="7">
        <v>0.88778517888636899</v>
      </c>
      <c r="C44" s="7">
        <v>0.790275485134598</v>
      </c>
      <c r="D44" s="8">
        <v>0.75838081622897702</v>
      </c>
      <c r="E44" s="5"/>
      <c r="F44" s="5"/>
      <c r="K44" s="5"/>
      <c r="Q44" s="5"/>
      <c r="R44" s="5"/>
    </row>
    <row r="45" spans="1:18" s="3" customFormat="1" x14ac:dyDescent="0.15">
      <c r="A45" s="7">
        <v>0.88330555555555501</v>
      </c>
      <c r="B45" s="7">
        <v>0.89249486646510401</v>
      </c>
      <c r="C45" s="7">
        <v>0.82073988231548001</v>
      </c>
      <c r="D45" s="7">
        <v>0.77067372462930495</v>
      </c>
      <c r="E45" s="5"/>
      <c r="F45" s="5"/>
      <c r="K45" s="5"/>
      <c r="Q45" s="5"/>
      <c r="R45" s="5"/>
    </row>
    <row r="46" spans="1:18" s="3" customFormat="1" x14ac:dyDescent="0.15">
      <c r="A46" s="6"/>
      <c r="B46" s="6"/>
      <c r="C46" s="6"/>
      <c r="D46" s="6"/>
      <c r="E46" s="5"/>
      <c r="F46" s="5"/>
      <c r="K46" s="5"/>
      <c r="Q46" s="5"/>
      <c r="R46" s="5"/>
    </row>
    <row r="47" spans="1:18" x14ac:dyDescent="0.15">
      <c r="A47" s="6"/>
      <c r="B47" s="6"/>
      <c r="C47" s="6"/>
      <c r="D47" s="6"/>
      <c r="E47" s="5"/>
      <c r="F47" s="5"/>
      <c r="K47" s="5"/>
      <c r="L47" s="3"/>
      <c r="M47" s="3"/>
      <c r="N47" s="3"/>
      <c r="O47" s="3"/>
      <c r="P47" s="3"/>
      <c r="Q47" s="5"/>
      <c r="R47" s="5"/>
    </row>
    <row r="48" spans="1:18" x14ac:dyDescent="0.15">
      <c r="A48" s="10" t="s">
        <v>0</v>
      </c>
      <c r="B48" s="6"/>
      <c r="C48" s="6"/>
      <c r="D48" s="6"/>
      <c r="E48" s="5"/>
      <c r="F48" s="5"/>
      <c r="K48" s="5"/>
      <c r="L48" s="3"/>
      <c r="M48" s="3"/>
      <c r="N48" s="3"/>
      <c r="O48" s="3"/>
      <c r="P48" s="3"/>
      <c r="Q48" s="5"/>
      <c r="R48" s="5"/>
    </row>
    <row r="49" spans="1:22" x14ac:dyDescent="0.15">
      <c r="A49" s="9">
        <f>AVERAGE(A36:A45)</f>
        <v>0.89701666666666624</v>
      </c>
      <c r="B49" s="9">
        <f>AVERAGE(B36:B45)</f>
        <v>0.87148531084656045</v>
      </c>
      <c r="C49" s="9">
        <f>AVERAGE(C36:C45)</f>
        <v>0.83340319370483917</v>
      </c>
      <c r="D49" s="9">
        <f>AVERAGE(D36:D45)</f>
        <v>0.79414451392652574</v>
      </c>
      <c r="E49" s="5"/>
      <c r="F49" s="5"/>
      <c r="K49" s="5"/>
      <c r="L49" s="3"/>
      <c r="M49" s="3"/>
      <c r="N49" s="3"/>
      <c r="O49" s="3"/>
      <c r="P49" s="3"/>
      <c r="Q49" s="5"/>
      <c r="R49" s="5"/>
    </row>
    <row r="50" spans="1:22" x14ac:dyDescent="0.15">
      <c r="A50" s="10" t="s">
        <v>1</v>
      </c>
      <c r="B50" s="6"/>
      <c r="C50" s="6"/>
      <c r="D50" s="6"/>
      <c r="E50" s="5"/>
      <c r="F50" s="5"/>
      <c r="K50" s="5"/>
      <c r="L50" s="3"/>
      <c r="M50" s="3"/>
      <c r="N50" s="3"/>
      <c r="O50" s="3"/>
      <c r="P50" s="3"/>
      <c r="Q50" s="5"/>
      <c r="R50" s="5"/>
    </row>
    <row r="51" spans="1:22" x14ac:dyDescent="0.15">
      <c r="A51" s="7">
        <f>_xlfn.STDEV.S(A36:A45)</f>
        <v>3.0945132093341508E-2</v>
      </c>
      <c r="B51" s="7">
        <f t="shared" ref="B51:D51" si="6">_xlfn.STDEV.S(B36:B45)</f>
        <v>3.3882999271811806E-2</v>
      </c>
      <c r="C51" s="7">
        <f t="shared" si="6"/>
        <v>2.6995566649503078E-2</v>
      </c>
      <c r="D51" s="7">
        <f t="shared" si="6"/>
        <v>5.1109174004587858E-2</v>
      </c>
      <c r="E51" s="5"/>
      <c r="F51" s="5"/>
      <c r="K51" s="5"/>
      <c r="L51" s="3"/>
      <c r="M51" s="3"/>
      <c r="N51" s="3"/>
      <c r="O51" s="3"/>
      <c r="P51" s="3"/>
      <c r="Q51" s="5"/>
      <c r="R51" s="5"/>
    </row>
    <row r="52" spans="1:22" x14ac:dyDescent="0.15">
      <c r="A52" s="6"/>
      <c r="B52" s="6"/>
      <c r="C52" s="6"/>
      <c r="D52" s="6"/>
      <c r="E52" s="5"/>
      <c r="F52" s="5"/>
      <c r="K52" s="5"/>
      <c r="L52" s="3"/>
      <c r="M52" s="3"/>
      <c r="N52" s="3"/>
      <c r="O52" s="3"/>
      <c r="P52" s="3"/>
      <c r="Q52" s="5"/>
      <c r="R52" s="5"/>
    </row>
    <row r="53" spans="1:22" x14ac:dyDescent="0.15">
      <c r="A53" s="10" t="s">
        <v>3</v>
      </c>
      <c r="B53" s="6"/>
      <c r="C53" s="6"/>
      <c r="D53" s="6"/>
      <c r="E53" s="5"/>
      <c r="F53" s="5"/>
      <c r="K53" s="5"/>
      <c r="L53" s="5"/>
      <c r="Q53" s="5"/>
      <c r="R53" s="5"/>
    </row>
    <row r="54" spans="1:22" x14ac:dyDescent="0.15">
      <c r="A54" s="6">
        <f>_xlfn.T.INV(0.975, 9)</f>
        <v>2.2621571627982049</v>
      </c>
      <c r="B54" s="6">
        <f t="shared" ref="B54:D54" si="7">_xlfn.T.INV(0.975, 9)</f>
        <v>2.2621571627982049</v>
      </c>
      <c r="C54" s="6">
        <f t="shared" si="7"/>
        <v>2.2621571627982049</v>
      </c>
      <c r="D54" s="6">
        <f t="shared" si="7"/>
        <v>2.2621571627982049</v>
      </c>
      <c r="E54" s="5"/>
      <c r="F54" s="5"/>
      <c r="K54" s="5"/>
      <c r="L54" s="5"/>
      <c r="Q54" s="5"/>
      <c r="R54" s="5"/>
    </row>
    <row r="55" spans="1:22" x14ac:dyDescent="0.15">
      <c r="A55" s="6"/>
      <c r="B55" s="6"/>
      <c r="C55" s="6"/>
      <c r="D55" s="6"/>
      <c r="E55" s="5"/>
      <c r="F55" s="5"/>
      <c r="K55" s="5"/>
      <c r="L55" s="5"/>
      <c r="Q55" s="5"/>
      <c r="R55" s="5"/>
    </row>
    <row r="56" spans="1:22" x14ac:dyDescent="0.15">
      <c r="A56" s="10" t="s">
        <v>2</v>
      </c>
      <c r="B56" s="6"/>
      <c r="C56" s="6"/>
      <c r="D56" s="6"/>
      <c r="E56" s="5"/>
      <c r="F56" s="5"/>
      <c r="K56" s="5"/>
      <c r="L56" s="5"/>
      <c r="Q56" s="5"/>
      <c r="R56" s="5"/>
    </row>
    <row r="57" spans="1:22" x14ac:dyDescent="0.15">
      <c r="A57" s="7">
        <f>(A51/SQRT(10))*A54</f>
        <v>2.2136813949146298E-2</v>
      </c>
      <c r="B57" s="7">
        <f t="shared" ref="B57:D57" si="8">(B51/SQRT(10))*B54</f>
        <v>2.4238437524089579E-2</v>
      </c>
      <c r="C57" s="7">
        <f t="shared" si="8"/>
        <v>1.9311465033313383E-2</v>
      </c>
      <c r="D57" s="7">
        <f t="shared" si="8"/>
        <v>3.656130058263829E-2</v>
      </c>
      <c r="E57" s="5"/>
      <c r="F57" s="5"/>
      <c r="K57" s="5"/>
      <c r="L57" s="5"/>
      <c r="Q57" s="5"/>
      <c r="R57" s="5"/>
    </row>
    <row r="58" spans="1:22" x14ac:dyDescent="0.15">
      <c r="A58" s="6"/>
      <c r="B58" s="6"/>
      <c r="C58" s="6"/>
      <c r="D58" s="6"/>
      <c r="E58" s="5"/>
      <c r="F58" s="5"/>
      <c r="K58" s="5"/>
      <c r="L58" s="13"/>
      <c r="Q58" s="5"/>
      <c r="R58" s="5"/>
    </row>
    <row r="59" spans="1:22" x14ac:dyDescent="0.15">
      <c r="A59" s="6"/>
      <c r="B59" s="6"/>
      <c r="C59" s="6"/>
      <c r="D59" s="6"/>
      <c r="E59" s="5"/>
      <c r="F59" s="5"/>
      <c r="K59" s="5"/>
      <c r="L59" s="13"/>
      <c r="Q59" s="5"/>
      <c r="R59" s="5"/>
    </row>
    <row r="60" spans="1:22" x14ac:dyDescent="0.15">
      <c r="A60" s="10" t="s">
        <v>11</v>
      </c>
      <c r="B60" s="6"/>
      <c r="C60" s="6"/>
      <c r="D60" s="6"/>
      <c r="E60" s="5"/>
      <c r="F60" s="5"/>
      <c r="K60" s="5"/>
      <c r="L60" s="13"/>
      <c r="Q60" s="5"/>
      <c r="R60" s="5"/>
    </row>
    <row r="61" spans="1:22" x14ac:dyDescent="0.15">
      <c r="A61" s="9">
        <f>A49-A57</f>
        <v>0.87487985271751989</v>
      </c>
      <c r="B61" s="9">
        <f t="shared" ref="B61:D61" si="9">B49-B57</f>
        <v>0.84724687332247084</v>
      </c>
      <c r="C61" s="9">
        <f t="shared" si="9"/>
        <v>0.81409172867152579</v>
      </c>
      <c r="D61" s="9">
        <f t="shared" si="9"/>
        <v>0.75758321334388745</v>
      </c>
      <c r="E61" s="5"/>
      <c r="F61" s="5"/>
      <c r="K61" s="5"/>
      <c r="L61" s="13"/>
      <c r="Q61" s="5"/>
      <c r="R61" s="5"/>
    </row>
    <row r="62" spans="1:22" x14ac:dyDescent="0.15">
      <c r="A62" s="9">
        <f>A49</f>
        <v>0.89701666666666624</v>
      </c>
      <c r="B62" s="9">
        <f t="shared" ref="B62:D62" si="10">B49</f>
        <v>0.87148531084656045</v>
      </c>
      <c r="C62" s="9">
        <f t="shared" si="10"/>
        <v>0.83340319370483917</v>
      </c>
      <c r="D62" s="9">
        <f t="shared" si="10"/>
        <v>0.79414451392652574</v>
      </c>
      <c r="E62" s="5"/>
      <c r="F62" s="5"/>
      <c r="K62" s="5"/>
      <c r="L62" s="13"/>
      <c r="Q62" s="5"/>
      <c r="R62" s="5"/>
    </row>
    <row r="63" spans="1:22" x14ac:dyDescent="0.15">
      <c r="A63" s="9">
        <f>A49+A57</f>
        <v>0.91915348061581259</v>
      </c>
      <c r="B63" s="9">
        <f t="shared" ref="B63:D63" si="11">B49+B57</f>
        <v>0.89572374837065005</v>
      </c>
      <c r="C63" s="9">
        <f t="shared" si="11"/>
        <v>0.85271465873815255</v>
      </c>
      <c r="D63" s="9">
        <f t="shared" si="11"/>
        <v>0.83070581450916403</v>
      </c>
      <c r="E63" s="5"/>
      <c r="F63" s="5"/>
      <c r="K63" s="5"/>
      <c r="L63" s="13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x14ac:dyDescent="0.15">
      <c r="E64" s="5"/>
      <c r="F64" s="5"/>
      <c r="K64" s="5"/>
      <c r="L64" s="13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13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13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8" x14ac:dyDescent="0.2">
      <c r="A67" s="11" t="s">
        <v>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13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x14ac:dyDescent="0.15">
      <c r="A68" s="10" t="s">
        <v>10</v>
      </c>
      <c r="B68" s="10" t="s">
        <v>4</v>
      </c>
      <c r="C68" s="10" t="s">
        <v>5</v>
      </c>
      <c r="D68" s="10" t="s">
        <v>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x14ac:dyDescent="0.15">
      <c r="A69" s="7">
        <v>0.86380555555555505</v>
      </c>
      <c r="B69" s="7">
        <v>0.82670297933988401</v>
      </c>
      <c r="C69" s="7">
        <v>0.73532930977264199</v>
      </c>
      <c r="D69" s="7">
        <v>0.69807102639791396</v>
      </c>
    </row>
    <row r="70" spans="1:22" x14ac:dyDescent="0.15">
      <c r="A70" s="7">
        <v>0.83663888888888804</v>
      </c>
      <c r="B70" s="15">
        <v>0.82599999999999996</v>
      </c>
      <c r="C70" s="7">
        <v>0.76572047725977699</v>
      </c>
      <c r="D70" s="7">
        <v>0.71049859822830996</v>
      </c>
      <c r="I70" s="1"/>
      <c r="L70" s="14"/>
    </row>
    <row r="71" spans="1:22" x14ac:dyDescent="0.15">
      <c r="A71" s="7">
        <v>0.80013888888888796</v>
      </c>
      <c r="B71" s="7">
        <v>0.75475517132779002</v>
      </c>
      <c r="C71" s="7">
        <v>0.69584210129314295</v>
      </c>
      <c r="D71" s="7">
        <v>0.668138000552714</v>
      </c>
      <c r="K71" s="1"/>
    </row>
    <row r="72" spans="1:22" x14ac:dyDescent="0.15">
      <c r="A72" s="7">
        <v>0.83772222222222203</v>
      </c>
      <c r="B72" s="7">
        <v>0.82874757495590801</v>
      </c>
      <c r="C72" s="7">
        <v>0.74472147023433899</v>
      </c>
      <c r="D72" s="7">
        <v>0.74891407561234802</v>
      </c>
    </row>
    <row r="73" spans="1:22" x14ac:dyDescent="0.15">
      <c r="A73" s="7">
        <v>0.808111111111111</v>
      </c>
      <c r="B73" s="7">
        <v>0.84433204207608903</v>
      </c>
      <c r="C73" s="7">
        <v>0.70001090470959304</v>
      </c>
      <c r="D73" s="7">
        <v>0.69971709341349997</v>
      </c>
    </row>
    <row r="74" spans="1:22" x14ac:dyDescent="0.15">
      <c r="A74" s="7">
        <v>0.84716666666666596</v>
      </c>
      <c r="B74" s="7">
        <v>0.84815617283950595</v>
      </c>
      <c r="C74" s="7">
        <v>0.73114518689227903</v>
      </c>
      <c r="D74" s="7">
        <v>0.73829249726113</v>
      </c>
    </row>
    <row r="75" spans="1:22" x14ac:dyDescent="0.15">
      <c r="A75" s="7">
        <v>0.83225000000000005</v>
      </c>
      <c r="B75" s="7">
        <v>0.79831705719324697</v>
      </c>
      <c r="C75" s="7">
        <v>0.72309023231910896</v>
      </c>
      <c r="D75" s="8">
        <v>0.71251809672449296</v>
      </c>
    </row>
    <row r="76" spans="1:22" x14ac:dyDescent="0.15">
      <c r="A76" s="7">
        <v>0.85861111111111099</v>
      </c>
      <c r="B76" s="7">
        <v>0.83094276895943497</v>
      </c>
      <c r="C76" s="7">
        <v>0.74401822654877203</v>
      </c>
      <c r="D76" s="8">
        <v>0.69201287100447495</v>
      </c>
    </row>
    <row r="77" spans="1:22" x14ac:dyDescent="0.15">
      <c r="A77" s="7">
        <v>0.886777777777777</v>
      </c>
      <c r="B77" s="7">
        <v>0.82407641093474404</v>
      </c>
      <c r="C77" s="7">
        <v>0.76130500298625503</v>
      </c>
      <c r="D77" s="8">
        <v>0.75273635742234102</v>
      </c>
    </row>
    <row r="78" spans="1:22" x14ac:dyDescent="0.15">
      <c r="A78" s="7">
        <v>0.88280555555555495</v>
      </c>
      <c r="B78" s="7">
        <v>0.76506239921894603</v>
      </c>
      <c r="C78" s="7">
        <v>0.81615799516735299</v>
      </c>
      <c r="D78" s="7">
        <v>0.64858828149166403</v>
      </c>
    </row>
    <row r="79" spans="1:22" x14ac:dyDescent="0.15">
      <c r="A79" s="6"/>
      <c r="B79" s="6"/>
      <c r="C79" s="6"/>
      <c r="D79" s="6"/>
    </row>
    <row r="80" spans="1:22" x14ac:dyDescent="0.15">
      <c r="A80" s="6"/>
      <c r="B80" s="6"/>
      <c r="C80" s="6"/>
      <c r="D80" s="6"/>
      <c r="I80" s="1"/>
    </row>
    <row r="81" spans="1:4" x14ac:dyDescent="0.15">
      <c r="A81" s="10" t="s">
        <v>0</v>
      </c>
      <c r="B81" s="6"/>
      <c r="C81" s="6"/>
      <c r="D81" s="6"/>
    </row>
    <row r="82" spans="1:4" x14ac:dyDescent="0.15">
      <c r="A82" s="9">
        <f>AVERAGE(A69:A78)</f>
        <v>0.84540277777777728</v>
      </c>
      <c r="B82" s="9">
        <f>AVERAGE(B69:B78)</f>
        <v>0.81470925768455493</v>
      </c>
      <c r="C82" s="9">
        <f>AVERAGE(C69:C78)</f>
        <v>0.7417340907183263</v>
      </c>
      <c r="D82" s="9">
        <f>AVERAGE(D69:D78)</f>
        <v>0.70694868981088888</v>
      </c>
    </row>
    <row r="83" spans="1:4" x14ac:dyDescent="0.15">
      <c r="A83" s="10" t="s">
        <v>1</v>
      </c>
      <c r="B83" s="6"/>
      <c r="C83" s="6"/>
      <c r="D83" s="6"/>
    </row>
    <row r="84" spans="1:4" x14ac:dyDescent="0.15">
      <c r="A84" s="7">
        <f>_xlfn.STDEV.S(A69:A78)</f>
        <v>2.862666259001425E-2</v>
      </c>
      <c r="B84" s="7">
        <f>_xlfn.STDEV.S(B69:B78)</f>
        <v>3.1874559296526959E-2</v>
      </c>
      <c r="C84" s="7">
        <f t="shared" ref="C84:D84" si="12">_xlfn.STDEV.S(C69:C78)</f>
        <v>3.4735612714630763E-2</v>
      </c>
      <c r="D84" s="7">
        <f t="shared" si="12"/>
        <v>3.3582490405979569E-2</v>
      </c>
    </row>
    <row r="85" spans="1:4" x14ac:dyDescent="0.15">
      <c r="A85" s="6"/>
      <c r="B85" s="6"/>
      <c r="C85" s="6"/>
      <c r="D85" s="6"/>
    </row>
    <row r="86" spans="1:4" x14ac:dyDescent="0.15">
      <c r="A86" s="10" t="s">
        <v>3</v>
      </c>
      <c r="B86" s="6"/>
      <c r="C86" s="6"/>
      <c r="D86" s="6"/>
    </row>
    <row r="87" spans="1:4" x14ac:dyDescent="0.15">
      <c r="A87" s="6">
        <f>_xlfn.T.INV(0.975, 9)</f>
        <v>2.2621571627982049</v>
      </c>
      <c r="B87" s="6">
        <f t="shared" ref="B87:D87" si="13">_xlfn.T.INV(0.975, 9)</f>
        <v>2.2621571627982049</v>
      </c>
      <c r="C87" s="6">
        <f t="shared" si="13"/>
        <v>2.2621571627982049</v>
      </c>
      <c r="D87" s="6">
        <f t="shared" si="13"/>
        <v>2.2621571627982049</v>
      </c>
    </row>
    <row r="88" spans="1:4" x14ac:dyDescent="0.15">
      <c r="A88" s="6"/>
      <c r="B88" s="6"/>
      <c r="C88" s="6"/>
      <c r="D88" s="6"/>
    </row>
    <row r="89" spans="1:4" x14ac:dyDescent="0.15">
      <c r="A89" s="10" t="s">
        <v>2</v>
      </c>
      <c r="B89" s="6"/>
      <c r="C89" s="6"/>
      <c r="D89" s="6"/>
    </row>
    <row r="90" spans="1:4" x14ac:dyDescent="0.15">
      <c r="A90" s="7">
        <f>(A84/SQRT(10))*A87</f>
        <v>2.0478280778658764E-2</v>
      </c>
      <c r="B90" s="7">
        <f t="shared" ref="B90:D90" si="14">(B84/SQRT(10))*B87</f>
        <v>2.2801686117542012E-2</v>
      </c>
      <c r="C90" s="7">
        <f t="shared" si="14"/>
        <v>2.4848360438533543E-2</v>
      </c>
      <c r="D90" s="7">
        <f t="shared" si="14"/>
        <v>2.4023466431611074E-2</v>
      </c>
    </row>
    <row r="91" spans="1:4" x14ac:dyDescent="0.15">
      <c r="A91" s="6"/>
      <c r="B91" s="6"/>
      <c r="C91" s="6"/>
      <c r="D91" s="6"/>
    </row>
    <row r="92" spans="1:4" x14ac:dyDescent="0.15">
      <c r="A92" s="6"/>
      <c r="B92" s="6"/>
      <c r="C92" s="6"/>
      <c r="D92" s="6"/>
    </row>
    <row r="93" spans="1:4" x14ac:dyDescent="0.15">
      <c r="A93" s="10" t="s">
        <v>11</v>
      </c>
      <c r="B93" s="6"/>
      <c r="C93" s="6"/>
      <c r="D93" s="6"/>
    </row>
    <row r="94" spans="1:4" x14ac:dyDescent="0.15">
      <c r="A94" s="9">
        <f>A82-A90</f>
        <v>0.82492449699911852</v>
      </c>
      <c r="B94" s="9">
        <f t="shared" ref="B94:D94" si="15">B82-B90</f>
        <v>0.79190757156701297</v>
      </c>
      <c r="C94" s="9">
        <f t="shared" si="15"/>
        <v>0.71688573027979274</v>
      </c>
      <c r="D94" s="9">
        <f t="shared" si="15"/>
        <v>0.68292522337927775</v>
      </c>
    </row>
    <row r="95" spans="1:4" x14ac:dyDescent="0.15">
      <c r="A95" s="9">
        <f>A82</f>
        <v>0.84540277777777728</v>
      </c>
      <c r="B95" s="9">
        <f t="shared" ref="B95:D95" si="16">B82</f>
        <v>0.81470925768455493</v>
      </c>
      <c r="C95" s="9">
        <f t="shared" si="16"/>
        <v>0.7417340907183263</v>
      </c>
      <c r="D95" s="9">
        <f t="shared" si="16"/>
        <v>0.70694868981088888</v>
      </c>
    </row>
    <row r="96" spans="1:4" x14ac:dyDescent="0.15">
      <c r="A96" s="9">
        <f>A82+A90</f>
        <v>0.86588105855643605</v>
      </c>
      <c r="B96" s="9">
        <f t="shared" ref="B96:D96" si="17">B82+B90</f>
        <v>0.8375109438020969</v>
      </c>
      <c r="C96" s="9">
        <f t="shared" si="17"/>
        <v>0.76658245115685986</v>
      </c>
      <c r="D96" s="9">
        <f t="shared" si="17"/>
        <v>0.7309721562425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Bacciottini</dc:creator>
  <cp:lastModifiedBy>Microsoft Office User</cp:lastModifiedBy>
  <dcterms:created xsi:type="dcterms:W3CDTF">2020-07-17T19:51:06Z</dcterms:created>
  <dcterms:modified xsi:type="dcterms:W3CDTF">2021-01-10T19:46:49Z</dcterms:modified>
</cp:coreProperties>
</file>